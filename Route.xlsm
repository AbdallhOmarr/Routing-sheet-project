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8F04F217-B132-4F18-98A1-BD8503EE9C09}" xr6:coauthVersionLast="47" xr6:coauthVersionMax="47" xr10:uidLastSave="{00000000-0000-0000-0000-000000000000}"/>
  <bookViews>
    <workbookView xWindow="-120" yWindow="-120" windowWidth="29040" windowHeight="15840" activeTab="1" xr2:uid="{4D523A7A-817F-46DA-B2BA-A7DDE0ED3DF2}"/>
  </bookViews>
  <sheets>
    <sheet name="main" sheetId="1" r:id="rId1"/>
    <sheet name="Item1" sheetId="2" r:id="rId2"/>
    <sheet name="r1" sheetId="10" r:id="rId3"/>
    <sheet name="department" sheetId="5" r:id="rId4"/>
    <sheet name="operations" sheetId="8" r:id="rId5"/>
    <sheet name="machines" sheetId="7" r:id="rId6"/>
    <sheet name="labors" sheetId="6" r:id="rId7"/>
    <sheet name="rates" sheetId="9" r:id="rId8"/>
  </sheets>
  <definedNames>
    <definedName name="_xlnm._FilterDatabase" localSheetId="4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<sst xmlns="http://schemas.openxmlformats.org/spreadsheetml/2006/main" count="2178" uniqueCount="585">
  <si>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</si>
  <si>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</si>
  <si>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</si>
  <si>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</si>
  <si>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</si>
  <si>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</si>
  <si>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</si>
  <si>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</si>
  <si>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</si>
  <si>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</si>
  <si>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</si>
  <si>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</si>
  <si>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</si>
  <si>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</si>
  <si>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</si>
  <si>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</si>
  <si>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</si>
  <si>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</si>
  <si>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</si>
  <si>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</si>
  <si>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</si>
  <si>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</si>
  <si>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</si>
  <si>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</si>
  <si>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</si>
  <si>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</si>
  <si>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</si>
  <si>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</si>
  <si>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</si>
  <si>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</si>
  <si>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</si>
  <si>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</si>
  <si>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</si>
  <si>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</si>
  <si>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</si>
  <si>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</si>
  <si>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</si>
  <si>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</si>
  <si>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</si>
  <si>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</si>
  <si>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</si>
  <si>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</si>
  <si>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</si>
  <si>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</si>
  <si>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</si>
  <si>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</si>
  <si>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</si>
  <si>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</si>
  <si>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</si>
  <si>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</si>
  <si>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</si>
  <si>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</si>
  <si>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</si>
  <si>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</si>
  <si>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</si>
  <si>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</si>
  <si>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</si>
  <si>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</si>
  <si>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</si>
  <si>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</si>
  <si>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</si>
  <si>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</si>
  <si>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</si>
  <si>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</si>
  <si>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</si>
  <si>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</si>
  <si>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</si>
  <si>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</si>
  <si>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</si>
  <si>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</si>
  <si>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</si>
  <si>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</si>
  <si>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</si>
  <si>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</si>
  <si>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</si>
  <si>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</si>
  <si>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</si>
  <si>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</si>
  <si>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</si>
  <si>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</si>
  <si>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</si>
  <si>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</si>
  <si>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</si>
  <si>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</si>
  <si>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</si>
  <si>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</si>
  <si>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</si>
  <si>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</si>
  <si>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</si>
  <si>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</si>
  <si>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</si>
  <si>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</si>
  <si>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</si>
  <si>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</si>
  <si>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</si>
  <si>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</si>
  <si>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</si>
  <si>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</si>
  <si>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</si>
  <si>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</si>
  <si>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</si>
  <si>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</si>
  <si>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</si>
  <si>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</si>
  <si>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</si>
  <si>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</si>
  <si>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</si>
  <si>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</si>
  <si>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</si>
  <si>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</si>
  <si>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</si>
  <si>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</si>
  <si>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</si>
  <si>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</si>
  <si>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</si>
  <si>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</si>
  <si>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</si>
  <si>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</si>
  <si>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</si>
  <si>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</si>
  <si>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</si>
  <si>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</si>
  <si>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</si>
  <si>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</si>
  <si>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</si>
  <si>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</si>
  <si>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</si>
  <si>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</si>
  <si>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</si>
  <si>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</si>
  <si>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</si>
  <si>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</si>
  <si>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</si>
  <si>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</si>
  <si>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</si>
  <si>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</si>
  <si>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</si>
  <si>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</si>
  <si>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</si>
  <si>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</si>
  <si>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</si>
  <si>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</si>
  <si>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</si>
  <si>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</si>
  <si>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</si>
  <si>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</si>
  <si>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</si>
  <si>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</si>
  <si>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</si>
  <si>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</si>
  <si>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</si>
  <si>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</si>
  <si>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</si>
  <si>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</si>
  <si>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</si>
  <si>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</si>
  <si>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</si>
  <si>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</si>
  <si>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</si>
  <si>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</si>
  <si>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</si>
  <si>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</si>
  <si>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</si>
  <si>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</si>
  <si>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</si>
  <si>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</si>
  <si>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</si>
  <si>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</si>
  <si>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</si>
  <si>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</si>
  <si>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</si>
  <si>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</si>
  <si>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</si>
  <si>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</si>
  <si>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</si>
  <si>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</si>
  <si>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</si>
  <si>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</si>
  <si>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</si>
  <si>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</si>
  <si>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</si>
  <si>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</si>
  <si>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</si>
  <si>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</si>
  <si>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</si>
  <si>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</si>
  <si>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</si>
  <si>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</si>
  <si>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</si>
  <si>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</si>
  <si>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</si>
  <si>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</si>
  <si>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</si>
  <si>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</si>
  <si>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</si>
  <si>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</si>
  <si>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</si>
  <si>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</si>
  <si>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</si>
  <si>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</si>
  <si>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</si>
  <si>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</si>
  <si>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</si>
  <si>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</si>
  <si>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</si>
  <si>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</si>
  <si>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</si>
  <si>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</si>
  <si>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</si>
  <si>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</si>
  <si>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</si>
  <si>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</si>
  <si>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</si>
  <si>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</si>
  <si>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</si>
  <si>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</si>
  <si>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</si>
  <si>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</si>
  <si>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</si>
  <si>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</si>
  <si>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</si>
  <si>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</si>
  <si>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</si>
  <si>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</si>
  <si>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</si>
  <si>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</si>
  <si>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</si>
  <si>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</si>
  <si>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</si>
  <si>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</si>
  <si>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</si>
  <si>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</si>
  <si>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</si>
  <si>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</si>
  <si>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</si>
  <si>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</si>
  <si>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</si>
  <si>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</si>
  <si>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</si>
  <si>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</si>
  <si>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</si>
  <si>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</si>
  <si>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</si>
  <si>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</si>
  <si>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</si>
  <si>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</si>
  <si>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</si>
  <si>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</si>
  <si>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</si>
  <si>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</si>
  <si>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</si>
  <si>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</si>
  <si>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</si>
  <si>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</si>
  <si>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</si>
  <si>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</si>
  <si>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</si>
  <si>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</si>
  <si>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</si>
  <si>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</si>
  <si>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</si>
  <si>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</si>
  <si>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</si>
  <si>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</si>
  <si>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</si>
  <si>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</si>
  <si>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</si>
  <si>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</si>
  <si>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</si>
  <si>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</si>
  <si>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</si>
  <si>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</si>
  <si>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</si>
  <si>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</si>
  <si>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</si>
  <si>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</si>
  <si>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</si>
  <si>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</si>
  <si>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</si>
  <si>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</si>
  <si>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</si>
  <si>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</si>
  <si>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</si>
  <si>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</si>
  <si>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</si>
  <si>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</si>
  <si>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</si>
  <si>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</si>
  <si>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</si>
  <si>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</si>
  <si>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</si>
  <si>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</si>
  <si>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</si>
  <si>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</si>
  <si>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</si>
  <si>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</si>
  <si>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</si>
  <si>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</si>
  <si>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</si>
  <si>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</si>
  <si>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</si>
  <si>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</si>
  <si>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</si>
  <si>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</si>
  <si>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</si>
  <si>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</si>
  <si>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</si>
  <si>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</si>
  <si>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</si>
  <si>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</si>
  <si>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</si>
  <si>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</si>
  <si>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</si>
  <si>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</si>
  <si>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</si>
  <si>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</si>
  <si>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</si>
  <si>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</si>
  <si>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</si>
  <si>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</si>
  <si>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</si>
  <si>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</si>
  <si>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</si>
  <si>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</si>
  <si>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</si>
  <si>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</si>
  <si>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</si>
  <si>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</si>
  <si>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</si>
  <si>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</si>
  <si>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</si>
  <si>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</si>
  <si>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</si>
  <si>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</si>
  <si>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</si>
  <si>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</si>
  <si>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</si>
  <si>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</si>
  <si>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</si>
  <si>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</si>
  <si>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</si>
  <si>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</si>
  <si>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</si>
  <si>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</si>
  <si>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</si>
  <si>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</si>
  <si>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</si>
  <si>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</si>
  <si>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</si>
  <si>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</si>
  <si>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</si>
  <si>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</si>
  <si>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</si>
  <si>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</si>
  <si>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</si>
  <si>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</si>
  <si>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</si>
  <si>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</si>
  <si>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</si>
  <si>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</si>
  <si>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</si>
  <si>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</si>
  <si>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</si>
  <si>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</si>
  <si>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</si>
  <si>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</si>
  <si>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</si>
  <si>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</si>
  <si>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</si>
  <si>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</si>
  <si>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</si>
  <si>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</si>
  <si>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</si>
  <si>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</si>
  <si>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</si>
  <si>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</si>
  <si>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</si>
  <si>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</si>
  <si>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</si>
  <si>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</si>
  <si>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</si>
  <si>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</si>
  <si>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</si>
  <si>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</si>
  <si>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</si>
  <si>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</si>
  <si>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</si>
  <si>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</si>
  <si>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</si>
  <si>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</si>
  <si>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</si>
  <si>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</si>
  <si>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</si>
  <si>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</si>
  <si>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</si>
  <si>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</si>
  <si>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</si>
  <si>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</si>
  <si>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</si>
  <si>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</si>
  <si>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</si>
  <si>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</si>
  <si>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</si>
  <si>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</si>
  <si>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</si>
  <si>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</si>
  <si>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</si>
  <si>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</si>
  <si>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</si>
  <si>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</si>
  <si>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</si>
  <si>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</si>
  <si>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</si>
  <si>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</si>
  <si>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</si>
  <si>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</si>
  <si>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</si>
  <si>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</si>
  <si>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</si>
  <si>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</si>
  <si>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</si>
  <si>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</si>
  <si>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</si>
  <si>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</si>
  <si>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</si>
  <si>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</si>
  <si>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</si>
  <si>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</si>
  <si>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</si>
  <si>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</si>
  <si>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</si>
  <si>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</si>
  <si>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</si>
  <si>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</si>
  <si>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</si>
  <si>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</si>
  <si>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</si>
  <si>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</si>
  <si>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</si>
  <si>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</si>
  <si>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</si>
  <si>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</si>
  <si>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</si>
  <si>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</si>
  <si>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</si>
  <si>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</si>
  <si>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</si>
  <si>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</si>
  <si>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</si>
  <si>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</si>
  <si>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</si>
  <si>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</si>
  <si>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</si>
  <si>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</si>
  <si>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</si>
  <si>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</si>
  <si>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</si>
  <si>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</si>
  <si>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</si>
  <si>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</si>
  <si>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</si>
  <si>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</si>
  <si>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</si>
  <si>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</si>
  <si>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</si>
  <si>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</si>
  <si>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</si>
  <si>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</si>
  <si>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</si>
  <si>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</si>
  <si>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</si>
  <si>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</si>
  <si>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</si>
  <si>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</si>
  <si>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</si>
  <si>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</si>
  <si>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</si>
  <si>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</si>
  <si>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</si>
  <si>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</si>
  <si>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</si>
  <si>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</si>
  <si>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</si>
  <si>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</si>
  <si>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</si>
  <si>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</si>
  <si>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</si>
  <si>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</si>
  <si>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</si>
  <si>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</si>
  <si>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</si>
  <si>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</si>
  <si>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</si>
  <si>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</si>
  <si>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</si>
  <si>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</si>
  <si>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</si>
  <si>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</si>
  <si>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</si>
  <si>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</si>
  <si>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</si>
  <si>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</si>
  <si>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</si>
  <si>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</si>
  <si>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</si>
  <si>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</si>
  <si>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</si>
  <si>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</si>
  <si>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</si>
  <si>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</si>
  <si>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</si>
  <si>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</si>
  <si>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</si>
  <si>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</si>
  <si>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</si>
  <si>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</si>
  <si>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</si>
  <si>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</si>
  <si>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</si>
  <si>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</si>
  <si>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</si>
  <si>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</si>
  <si>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</si>
  <si>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</si>
  <si>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</si>
  <si>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</si>
  <si>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</si>
  <si>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</si>
  <si>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</si>
  <si>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</si>
  <si>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</si>
  <si>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</si>
  <si>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</si>
  <si>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</si>
  <si>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</si>
  <si>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</si>
  <si>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</si>
  <si>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</si>
  <si>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</si>
  <si>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</si>
  <si>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</si>
  <si>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</si>
  <si>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</si>
  <si>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</si>
  <si>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</si>
  <si>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</si>
  <si>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</si>
  <si>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</si>
  <si>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</si>
  <si>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</si>
  <si>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</si>
  <si>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</si>
  <si>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</si>
  <si>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</si>
  <si>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</si>
  <si>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</si>
  <si>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</si>
  <si>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</si>
  <si>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</si>
  <si>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</si>
  <si>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</si>
  <si>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</si>
  <si>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</si>
  <si>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</si>
  <si>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</si>
  <si>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</si>
  <si>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</si>
  <si>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ACROW FG.Ground..</t>
  </si>
  <si>
    <t>WIP1.Ground..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</si>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</sst>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</cellXfs>
  <cellStyles count="3">
    <cellStyle name="40% - Accent5" xfId="1" builtinId="47"/>
    <cellStyle name="Normal" xfId="0" builtinId="0"/>
    <cellStyle name="Output" xfId="2" builtinId="21"/>
  </cellStyles>
  <dxfs count="55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38" xr3:uid="{729E8830-020B-4344-9B6B-79937DA0B512}" name="Column2" dataDxfId="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50"/>
    <tableColumn id="43" xr3:uid="{AA76DA76-44EF-438F-BB49-7AF9ABF73E77}" name="no1" dataDxfId="49"/>
    <tableColumn id="37" xr3:uid="{2EDD8460-AB7B-4B99-BD7B-C9FD53492289}" name="Column1" dataDxfId="48"/>
    <tableColumn id="8" xr3:uid="{63FF766C-182F-40A4-A8AB-D4F4B59AADAF}" name="dept2" dataDxfId="47"/>
    <tableColumn id="9" xr3:uid="{1BE8BF74-88D0-401A-8120-182835EBEB7D}" name="process2" dataDxfId="46"/>
    <tableColumn id="10" xr3:uid="{FE059F9A-4366-49F0-B94E-4F8842B2C9D8}" name="machine2" dataDxfId="45"/>
    <tableColumn id="44" xr3:uid="{9D03753E-DA67-4C57-AFFC-F27F8655EBF7}" name="no2" dataDxfId="44"/>
    <tableColumn id="40" xr3:uid="{CF3065E3-33FD-43F3-867A-2299467F5F81}" name="Column3" dataDxfId="43"/>
    <tableColumn id="12" xr3:uid="{FCA0FB15-0132-44F8-A32E-37B85F539842}" name="dept3" dataDxfId="42"/>
    <tableColumn id="13" xr3:uid="{6D1818B5-440F-4BED-982B-EDE9D78E91A3}" name="process3" dataDxfId="41"/>
    <tableColumn id="14" xr3:uid="{9A29F265-C2B2-4A85-86CD-B0F3C96B7966}" name="machine3" dataDxfId="40"/>
    <tableColumn id="46" xr3:uid="{BE964015-4765-4C98-BA4D-34DAF6C01753}" name="no3" dataDxfId="39"/>
    <tableColumn id="41" xr3:uid="{24662A22-9320-44E4-A87A-2E68005528E5}" name="Column4" dataDxfId="38"/>
    <tableColumn id="16" xr3:uid="{D2F1BB15-3799-4AEC-BA27-FAA5DB2D3687}" name="dept4" dataDxfId="37"/>
    <tableColumn id="17" xr3:uid="{613D69BD-E398-4CB4-8B82-2BF60A9B3179}" name="process4" dataDxfId="36"/>
    <tableColumn id="18" xr3:uid="{EC7008AA-C80C-4C58-A6A0-0D9E492F16FA}" name="machine4" dataDxfId="35"/>
    <tableColumn id="47" xr3:uid="{E6073295-E048-4B51-BD2B-824D45D8052D}" name="no4" dataDxfId="34"/>
    <tableColumn id="42" xr3:uid="{F2847EEB-A1B2-4936-B3FB-5C3546A6B644}" name="machine42" dataDxfId="33"/>
    <tableColumn id="19" xr3:uid="{D03124AA-F2AC-4032-A8A6-0B79721393CB}" name="dept5" dataDxfId="32"/>
    <tableColumn id="20" xr3:uid="{E39D38CC-8FD9-4EED-8590-74E9E141935E}" name="process5" dataDxfId="31"/>
    <tableColumn id="21" xr3:uid="{99943487-1DCA-4E27-B41B-777A64A1D454}" name="machine5" dataDxfId="30"/>
    <tableColumn id="49" xr3:uid="{70350209-EF93-4EDE-B3C5-EE23D091CB81}" name="no5" dataDxfId="29"/>
    <tableColumn id="48" xr3:uid="{236471AD-E17F-4B6C-ADBA-2ADE8C538446}" name="machine52" dataDxfId="28"/>
    <tableColumn id="22" xr3:uid="{38903E61-2C7E-4727-8669-DC1F25A4D745}" name="dept6" dataDxfId="27"/>
    <tableColumn id="23" xr3:uid="{0582D416-F8DE-45DC-AD48-419DEB8B60C0}" name="process6" dataDxfId="26"/>
    <tableColumn id="24" xr3:uid="{54269172-7E4B-4B29-9681-D683E30BD4BA}" name="machine6" dataDxfId="25"/>
    <tableColumn id="51" xr3:uid="{771B46E8-0B06-4349-A255-A863B3E18E98}" name="no6" dataDxfId="24"/>
    <tableColumn id="50" xr3:uid="{72F385D1-63B1-4F37-9295-705C99A4CB97}" name="machine62" dataDxfId="23"/>
    <tableColumn id="25" xr3:uid="{40AD6DDB-8DDF-4FE7-8A01-EEF3EC4600C0}" name="dept7" dataDxfId="22"/>
    <tableColumn id="26" xr3:uid="{A38EB1C4-2511-4227-9785-5CFE0E4A9E76}" name="process7" dataDxfId="21"/>
    <tableColumn id="27" xr3:uid="{2AAC772A-3480-4C69-80E4-01B9EDAA2D79}" name="machine7" dataDxfId="20"/>
    <tableColumn id="53" xr3:uid="{D3738A72-64B6-4CB0-987B-59F4FD00BF52}" name="no7" dataDxfId="19"/>
    <tableColumn id="52" xr3:uid="{F32C434A-3E81-43DC-B305-473A5B8D27DB}" name="machine72" dataDxfId="18"/>
    <tableColumn id="28" xr3:uid="{3711D52D-5355-4096-A921-87A13E6AED31}" name="dept8" dataDxfId="17"/>
    <tableColumn id="29" xr3:uid="{3B5A825C-B25D-490B-840A-CEB1BF3AF5B1}" name="process8" dataDxfId="16"/>
    <tableColumn id="30" xr3:uid="{D96FC43B-2594-4439-B1A5-B9BDED4A6EFE}" name="machine8" dataDxfId="15"/>
    <tableColumn id="55" xr3:uid="{ED72B1D3-9D9D-4D6A-AA2F-36AFF510CB53}" name="no8" dataDxfId="14"/>
    <tableColumn id="54" xr3:uid="{26A8FB30-4BA9-4A0F-82EE-B32E3293E354}" name="machine82" dataDxfId="13"/>
    <tableColumn id="31" xr3:uid="{7A2592A9-E856-43D2-9F2B-7750EE335456}" name="dept9" dataDxfId="12"/>
    <tableColumn id="32" xr3:uid="{C9C44D09-5788-48B1-9AF2-05C417D237CA}" name="process9" dataDxfId="11"/>
    <tableColumn id="33" xr3:uid="{4801D5F5-F73F-4C0A-BC97-54548B2D4266}" name="machine9" dataDxfId="10"/>
    <tableColumn id="57" xr3:uid="{0EDA8AB3-6F14-4CA1-A9BB-8671CF145792}" name="no9" dataDxfId="9"/>
    <tableColumn id="56" xr3:uid="{B611BB94-A78D-4D1F-BC65-AF3643B6B86B}" name="machine92" dataDxfId="8"/>
    <tableColumn id="34" xr3:uid="{1BFC41F4-7410-448B-B281-69A2A03D2D9C}" name="dept10" dataDxfId="7"/>
    <tableColumn id="35" xr3:uid="{613D8A7E-20EC-4091-ADA6-BB9C2F491875}" name="process10" dataDxfId="6"/>
    <tableColumn id="36" xr3:uid="{AB10F6E2-E1B3-4881-BE10-1BC65B0E7619}" name="machine10" dataDxfId="5"/>
    <tableColumn id="58" xr3:uid="{54E81644-EC65-4A77-BDD3-737985FB9F2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F1" sqref="F1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7.7109375" style="3" bestFit="1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113</v>
      </c>
      <c r="F4" s="4" t="s">
        <v>113</v>
      </c>
      <c r="G4" s="4" t="s">
        <v>188</v>
      </c>
      <c r="H4" s="4">
        <v>1</v>
      </c>
      <c r="I4" s="5"/>
      <c r="J4" s="4" t="s">
        <v>127</v>
      </c>
      <c r="K4" s="4" t="s">
        <v>450</v>
      </c>
      <c r="L4" s="4"/>
      <c r="M4" s="4">
        <v>1</v>
      </c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 t="s">
        <v>87</v>
      </c>
      <c r="F5" s="4" t="s">
        <v>510</v>
      </c>
      <c r="G5" s="4" t="s">
        <v>168</v>
      </c>
      <c r="H5" s="4"/>
      <c r="I5" s="5"/>
      <c r="J5" s="4" t="s">
        <v>73</v>
      </c>
      <c r="K5" s="4" t="s">
        <v>345</v>
      </c>
      <c r="L5" s="4" t="s">
        <v>190</v>
      </c>
      <c r="M5" s="4">
        <v>2</v>
      </c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:E203 AS4:AS203 J4:J203 O4:O203 T4:T203 Y4:Y203 AD4:AD203 AI4:AI203 AN4:AN203 AX4:AX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INDIRECT("dept"&amp;_xlfn.XLOOKUP(E4,department!$C:$C,department!$A:$A,"",0))</xm:f>
          </x14:formula1>
          <xm:sqref>F4:F203 K4:K203 P4:P203 U4:U203 Z4:Z203 AE4:AE203 AJ4:AJ203 AO4:AO203 AT4:AT203 AY4:AY203</xm:sqref>
        </x14:dataValidation>
        <x14:dataValidation type="list" allowBlank="1" showInputMessage="1" showErrorMessage="1" xr:uid="{732CDEFE-45E4-4EE4-B238-DA03B46EE089}">
          <x14:formula1>
            <xm:f>INDIRECT("machine"&amp;_xlfn.XLOOKUP(F4,_xlfn._xlws.FILTER(operations!$C:$C,operations!$E:$E=_xlfn.XLOOKUP(E4,department!$C:$C,department!$A:$A,"",0)),_xlfn._xlws.FILTER(operations!$A:$A,operations!$E:$E=_xlfn.XLOOKUP(E4,department!$C:$C,department!$A:$A,"",0)),"",0))</xm:f>
          </x14:formula1>
          <xm:sqref>G4:G203 L4:L203 Q4:Q203 V4:V203 AA4:AA203 AF4:AF203 AK4:AK203 AP4:AP203 AU4:AU203 AZ4:AZ203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2"/>
  <sheetViews>
    <sheetView workbookViewId="0">
      <selection activeCell="E17" sqref="E17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569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570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567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556</v>
      </c>
      <c r="E5" t="s">
        <v>568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515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344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167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139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10</v>
      </c>
      <c r="O9">
        <v>30</v>
      </c>
      <c r="P9" t="s">
        <v>141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10</v>
      </c>
      <c r="O10">
        <v>40</v>
      </c>
      <c r="P10" t="s">
        <v>135</v>
      </c>
      <c r="Q10">
        <v>1</v>
      </c>
      <c r="R10">
        <v>0</v>
      </c>
    </row>
    <row r="11" spans="2:18" x14ac:dyDescent="0.25">
      <c r="L11" s="7">
        <v>4221177315555</v>
      </c>
      <c r="M11" t="s">
        <v>68</v>
      </c>
      <c r="N11">
        <v>20</v>
      </c>
      <c r="O11">
        <v>10</v>
      </c>
      <c r="P11" t="s">
        <v>189</v>
      </c>
      <c r="Q11">
        <v>1</v>
      </c>
      <c r="R11">
        <v>0</v>
      </c>
    </row>
    <row r="12" spans="2:18" x14ac:dyDescent="0.25">
      <c r="L12" s="7">
        <v>4221177315555</v>
      </c>
      <c r="M12" t="s">
        <v>68</v>
      </c>
      <c r="N12">
        <v>20</v>
      </c>
      <c r="O12">
        <v>20</v>
      </c>
      <c r="P12" t="s">
        <v>133</v>
      </c>
      <c r="Q12">
        <v>1</v>
      </c>
      <c r="R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P2" sqref="P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571</v>
      </c>
      <c r="C1" s="15" t="s">
        <v>71</v>
      </c>
      <c r="D1" s="15" t="s">
        <v>572</v>
      </c>
      <c r="E1" s="15" t="s">
        <v>71</v>
      </c>
      <c r="F1" s="15" t="s">
        <v>584</v>
      </c>
      <c r="G1" s="15" t="s">
        <v>573</v>
      </c>
      <c r="H1" s="15" t="s">
        <v>574</v>
      </c>
      <c r="I1" s="15" t="s">
        <v>575</v>
      </c>
      <c r="J1" s="15" t="s">
        <v>576</v>
      </c>
      <c r="K1" s="15" t="s">
        <v>577</v>
      </c>
      <c r="L1" s="15" t="s">
        <v>578</v>
      </c>
      <c r="M1" s="15" t="s">
        <v>579</v>
      </c>
      <c r="N1" s="15" t="s">
        <v>580</v>
      </c>
      <c r="O1" s="15" t="s">
        <v>581</v>
      </c>
      <c r="P1" s="15" t="s">
        <v>582</v>
      </c>
      <c r="Q1" s="15" t="s">
        <v>583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126</vt:i4>
      </vt:variant>
    </vt:vector>
  </HeadingPairs>
  <TitlesOfParts>
    <vt:vector size="134" baseType="lpstr">
      <vt:lpstr>main</vt:lpstr>
      <vt:lpstr>Item1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2023-02-12T12:00:45Z</dcterms:modified>
</cp:coreProperties>
</file>